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a Obra" sheetId="1" state="visible" r:id="rId1"/>
    <sheet xmlns:r="http://schemas.openxmlformats.org/officeDocument/2006/relationships" name="Detalhamento de It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F2F5F8"/>
        <bgColor rgb="00F2F5F8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3" fontId="0" fillId="4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164" fontId="4" fillId="0" borderId="1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4" fontId="0" fillId="4" borderId="3" applyAlignment="1" pivotButton="0" quotePrefix="0" xfId="0">
      <alignment horizontal="right" vertic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Distribuição: Gasto Total Realizado vs Saldo Positivo</a:t>
            </a:r>
          </a:p>
        </rich>
      </tx>
    </title>
    <plotArea>
      <pieChart>
        <varyColors val="1"/>
        <ser>
          <idx val="0"/>
          <order val="0"/>
          <tx>
            <strRef>
              <f>'Resumo da Obra'!M10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da Obra'!$L$11:$L$12</f>
            </numRef>
          </cat>
          <val>
            <numRef>
              <f>'Resumo da Obra'!$M$11:$M$12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Total Realizado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'Resumo da Obra'!H10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da Obra'!$A$11:$A$16</f>
            </numRef>
          </cat>
          <val>
            <numRef>
              <f>'Resumo da Obra'!$H$11:$H$16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14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19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0" customWidth="1" min="4" max="4"/>
    <col width="24" customWidth="1" min="5" max="5"/>
    <col width="20" customWidth="1" min="6" max="6"/>
    <col width="16" customWidth="1" min="7" max="7"/>
    <col width="16" customWidth="1" min="8" max="8"/>
    <col width="22" customWidth="1" min="9" max="9"/>
    <col width="20" customWidth="1" min="10" max="10"/>
    <col width="28" customWidth="1" min="12" max="12"/>
    <col width="20" customWidth="1" min="13" max="13"/>
  </cols>
  <sheetData>
    <row r="1">
      <c r="A1" s="1" t="inlineStr">
        <is>
          <t>GESTÃO E CONTROLE DE CUSTOS DE OBRA</t>
        </is>
      </c>
    </row>
    <row r="2">
      <c r="A2" s="2" t="inlineStr">
        <is>
          <t>Resumo Orçamentário, Custos Realizados e Saldo por Categoria</t>
        </is>
      </c>
    </row>
    <row r="3"/>
    <row r="4">
      <c r="A4" s="3" t="inlineStr">
        <is>
          <t>Nome da Obra:</t>
        </is>
      </c>
      <c r="B4" s="4" t="inlineStr">
        <is>
          <t>Residência Alphaville - Villa Bella</t>
        </is>
      </c>
      <c r="D4" s="19" t="n"/>
      <c r="E4" s="19" t="n"/>
      <c r="F4" s="19" t="n"/>
      <c r="G4" s="20" t="n"/>
    </row>
    <row r="5">
      <c r="A5" s="3" t="inlineStr">
        <is>
          <t>Cliente:</t>
        </is>
      </c>
      <c r="B5" s="4" t="inlineStr">
        <is>
          <t>Carlos &amp; Mariana Silva</t>
        </is>
      </c>
      <c r="D5" s="19" t="n"/>
      <c r="E5" s="19" t="n"/>
      <c r="F5" s="19" t="n"/>
      <c r="G5" s="20" t="n"/>
    </row>
    <row r="6">
      <c r="A6" s="3" t="inlineStr">
        <is>
          <t>Endereço:</t>
        </is>
      </c>
      <c r="B6" s="4" t="inlineStr">
        <is>
          <t>Av. Das Palmeiras, 450 - Tamboré, Santana de Parnaíba - SP</t>
        </is>
      </c>
      <c r="D6" s="19" t="n"/>
      <c r="E6" s="19" t="n"/>
      <c r="F6" s="19" t="n"/>
      <c r="G6" s="20" t="n"/>
    </row>
    <row r="7">
      <c r="A7" s="3" t="inlineStr">
        <is>
          <t>Arquitetura:</t>
        </is>
      </c>
      <c r="B7" s="4" t="inlineStr">
        <is>
          <t>Studio Arquitetura &amp; Design (Arq. Amanda Costa)</t>
        </is>
      </c>
      <c r="D7" s="19" t="n"/>
      <c r="E7" s="19" t="n"/>
      <c r="F7" s="19" t="n"/>
      <c r="G7" s="20" t="n"/>
    </row>
    <row r="8"/>
    <row r="9"/>
    <row r="10">
      <c r="A10" s="6" t="inlineStr">
        <is>
          <t>Categoria / Item</t>
        </is>
      </c>
      <c r="B10" s="6" t="inlineStr">
        <is>
          <t>Qtd. (Unid)</t>
        </is>
      </c>
      <c r="C10" s="25" t="inlineStr">
        <is>
          <t>Área Total (m²)</t>
        </is>
      </c>
      <c r="D10" s="6" t="inlineStr">
        <is>
          <t>Custo Fechado</t>
        </is>
      </c>
      <c r="E10" s="6" t="inlineStr">
        <is>
          <t>Valor Insumos (Comprado)</t>
        </is>
      </c>
      <c r="F10" s="6" t="inlineStr">
        <is>
          <t>Valor Instalação</t>
        </is>
      </c>
      <c r="G10" s="6" t="inlineStr">
        <is>
          <t>Custo Frete</t>
        </is>
      </c>
      <c r="H10" s="6" t="inlineStr">
        <is>
          <t>Custo RT</t>
        </is>
      </c>
      <c r="I10" s="6" t="inlineStr">
        <is>
          <t>Custo Total Realizado</t>
        </is>
      </c>
      <c r="J10" s="6" t="inlineStr">
        <is>
          <t>Saldo</t>
        </is>
      </c>
      <c r="M10" s="21" t="inlineStr">
        <is>
          <t>Indicador Financeiro</t>
        </is>
      </c>
      <c r="N10" s="21" t="inlineStr">
        <is>
          <t>Valor (R$)</t>
        </is>
      </c>
    </row>
    <row r="11">
      <c r="A11" s="7" t="inlineStr">
        <is>
          <t>Painel</t>
        </is>
      </c>
      <c r="B11" s="8">
        <f>SUMIF('Detalhamento de Itens'!$A$4:$A$100, A11, 'Detalhamento de Itens'!$C$4:$C$100)</f>
        <v/>
      </c>
      <c r="C11" s="26">
        <f>SUMIF('Detalhamento de Itens'!$A$4:$A$100, A11, 'Detalhamento de Itens'!$D$4:$D$100)</f>
        <v/>
      </c>
      <c r="D11" s="9">
        <f>SUMIF('Detalhamento de Itens'!$A$4:$A$100, A11, 'Detalhamento de Itens'!$E$4:$E$100)</f>
        <v/>
      </c>
      <c r="E11" s="9">
        <f>SUMIF('Detalhamento de Itens'!$A$4:$A$100, A11, 'Detalhamento de Itens'!$F$4:$F$100)</f>
        <v/>
      </c>
      <c r="F11" s="9">
        <f>SUMIF('Detalhamento de Itens'!$A$4:$A$100, A11, 'Detalhamento de Itens'!$G$4:$G$100)</f>
        <v/>
      </c>
      <c r="G11" s="9">
        <f>SUMIF('Detalhamento de Itens'!$A$4:$A$100, A11, 'Detalhamento de Itens'!$H$4:$H$100)</f>
        <v/>
      </c>
      <c r="H11" s="9">
        <f>SUMIF('Detalhamento de Itens'!$A$4:$A$100, A11, 'Detalhamento de Itens'!$I$4:$I$100)</f>
        <v/>
      </c>
      <c r="I11" s="9">
        <f>SUM(E11:H11)</f>
        <v/>
      </c>
      <c r="J11" s="9">
        <f>D11-I11</f>
        <v/>
      </c>
      <c r="M11" s="22" t="inlineStr">
        <is>
          <t>Gasto Total Realizado</t>
        </is>
      </c>
      <c r="N11" s="23">
        <f>I17</f>
        <v/>
      </c>
    </row>
    <row r="12">
      <c r="A12" s="7" t="inlineStr">
        <is>
          <t>Portas</t>
        </is>
      </c>
      <c r="B12" s="8">
        <f>SUMIF('Detalhamento de Itens'!$A$4:$A$100, A12, 'Detalhamento de Itens'!$C$4:$C$100)</f>
        <v/>
      </c>
      <c r="C12" s="26">
        <f>SUMIF('Detalhamento de Itens'!$A$4:$A$100, A12, 'Detalhamento de Itens'!$D$4:$D$100)</f>
        <v/>
      </c>
      <c r="D12" s="9">
        <f>SUMIF('Detalhamento de Itens'!$A$4:$A$100, A12, 'Detalhamento de Itens'!$E$4:$E$100)</f>
        <v/>
      </c>
      <c r="E12" s="9">
        <f>SUMIF('Detalhamento de Itens'!$A$4:$A$100, A12, 'Detalhamento de Itens'!$F$4:$F$100)</f>
        <v/>
      </c>
      <c r="F12" s="9">
        <f>SUMIF('Detalhamento de Itens'!$A$4:$A$100, A12, 'Detalhamento de Itens'!$G$4:$G$100)</f>
        <v/>
      </c>
      <c r="G12" s="9">
        <f>SUMIF('Detalhamento de Itens'!$A$4:$A$100, A12, 'Detalhamento de Itens'!$H$4:$H$100)</f>
        <v/>
      </c>
      <c r="H12" s="9">
        <f>SUMIF('Detalhamento de Itens'!$A$4:$A$100, A12, 'Detalhamento de Itens'!$I$4:$I$100)</f>
        <v/>
      </c>
      <c r="I12" s="9">
        <f>SUM(E12:H12)</f>
        <v/>
      </c>
      <c r="J12" s="9">
        <f>D12-I12</f>
        <v/>
      </c>
      <c r="M12" s="22" t="inlineStr">
        <is>
          <t>Saldo Positivo / Economia</t>
        </is>
      </c>
      <c r="N12" s="23">
        <f>J17</f>
        <v/>
      </c>
    </row>
    <row r="13">
      <c r="A13" s="7" t="inlineStr">
        <is>
          <t>Forro</t>
        </is>
      </c>
      <c r="B13" s="8">
        <f>SUMIF('Detalhamento de Itens'!$A$4:$A$100, A13, 'Detalhamento de Itens'!$C$4:$C$100)</f>
        <v/>
      </c>
      <c r="C13" s="26">
        <f>SUMIF('Detalhamento de Itens'!$A$4:$A$100, A13, 'Detalhamento de Itens'!$D$4:$D$100)</f>
        <v/>
      </c>
      <c r="D13" s="9">
        <f>SUMIF('Detalhamento de Itens'!$A$4:$A$100, A13, 'Detalhamento de Itens'!$E$4:$E$100)</f>
        <v/>
      </c>
      <c r="E13" s="9">
        <f>SUMIF('Detalhamento de Itens'!$A$4:$A$100, A13, 'Detalhamento de Itens'!$F$4:$F$100)</f>
        <v/>
      </c>
      <c r="F13" s="9">
        <f>SUMIF('Detalhamento de Itens'!$A$4:$A$100, A13, 'Detalhamento de Itens'!$G$4:$G$100)</f>
        <v/>
      </c>
      <c r="G13" s="9">
        <f>SUMIF('Detalhamento de Itens'!$A$4:$A$100, A13, 'Detalhamento de Itens'!$H$4:$H$100)</f>
        <v/>
      </c>
      <c r="H13" s="9">
        <f>SUMIF('Detalhamento de Itens'!$A$4:$A$100, A13, 'Detalhamento de Itens'!$I$4:$I$100)</f>
        <v/>
      </c>
      <c r="I13" s="9">
        <f>SUM(E13:H13)</f>
        <v/>
      </c>
      <c r="J13" s="9">
        <f>D13-I13</f>
        <v/>
      </c>
    </row>
    <row r="14">
      <c r="A14" s="7" t="inlineStr">
        <is>
          <t>Piso</t>
        </is>
      </c>
      <c r="B14" s="8">
        <f>SUMIF('Detalhamento de Itens'!$A$4:$A$100, A14, 'Detalhamento de Itens'!$C$4:$C$100)</f>
        <v/>
      </c>
      <c r="C14" s="26">
        <f>SUMIF('Detalhamento de Itens'!$A$4:$A$100, A14, 'Detalhamento de Itens'!$D$4:$D$100)</f>
        <v/>
      </c>
      <c r="D14" s="9">
        <f>SUMIF('Detalhamento de Itens'!$A$4:$A$100, A14, 'Detalhamento de Itens'!$E$4:$E$100)</f>
        <v/>
      </c>
      <c r="E14" s="9">
        <f>SUMIF('Detalhamento de Itens'!$A$4:$A$100, A14, 'Detalhamento de Itens'!$F$4:$F$100)</f>
        <v/>
      </c>
      <c r="F14" s="9">
        <f>SUMIF('Detalhamento de Itens'!$A$4:$A$100, A14, 'Detalhamento de Itens'!$G$4:$G$100)</f>
        <v/>
      </c>
      <c r="G14" s="9">
        <f>SUMIF('Detalhamento de Itens'!$A$4:$A$100, A14, 'Detalhamento de Itens'!$H$4:$H$100)</f>
        <v/>
      </c>
      <c r="H14" s="9">
        <f>SUMIF('Detalhamento de Itens'!$A$4:$A$100, A14, 'Detalhamento de Itens'!$I$4:$I$100)</f>
        <v/>
      </c>
      <c r="I14" s="9">
        <f>SUM(E14:H14)</f>
        <v/>
      </c>
      <c r="J14" s="9">
        <f>D14-I14</f>
        <v/>
      </c>
    </row>
    <row r="15">
      <c r="A15" s="7" t="inlineStr">
        <is>
          <t>Deck</t>
        </is>
      </c>
      <c r="B15" s="8">
        <f>SUMIF('Detalhamento de Itens'!$A$4:$A$100, A15, 'Detalhamento de Itens'!$C$4:$C$100)</f>
        <v/>
      </c>
      <c r="C15" s="26">
        <f>SUMIF('Detalhamento de Itens'!$A$4:$A$100, A15, 'Detalhamento de Itens'!$D$4:$D$100)</f>
        <v/>
      </c>
      <c r="D15" s="9">
        <f>SUMIF('Detalhamento de Itens'!$A$4:$A$100, A15, 'Detalhamento de Itens'!$E$4:$E$100)</f>
        <v/>
      </c>
      <c r="E15" s="9">
        <f>SUMIF('Detalhamento de Itens'!$A$4:$A$100, A15, 'Detalhamento de Itens'!$F$4:$F$100)</f>
        <v/>
      </c>
      <c r="F15" s="9">
        <f>SUMIF('Detalhamento de Itens'!$A$4:$A$100, A15, 'Detalhamento de Itens'!$G$4:$G$100)</f>
        <v/>
      </c>
      <c r="G15" s="9">
        <f>SUMIF('Detalhamento de Itens'!$A$4:$A$100, A15, 'Detalhamento de Itens'!$H$4:$H$100)</f>
        <v/>
      </c>
      <c r="H15" s="9">
        <f>SUMIF('Detalhamento de Itens'!$A$4:$A$100, A15, 'Detalhamento de Itens'!$I$4:$I$100)</f>
        <v/>
      </c>
      <c r="I15" s="9">
        <f>SUM(E15:H15)</f>
        <v/>
      </c>
      <c r="J15" s="9">
        <f>D15-I15</f>
        <v/>
      </c>
    </row>
    <row r="16">
      <c r="A16" s="7" t="inlineStr">
        <is>
          <t>Marcenaria (Móveis)</t>
        </is>
      </c>
      <c r="B16" s="8">
        <f>SUMIF('Detalhamento de Itens'!$A$4:$A$100, A16, 'Detalhamento de Itens'!$C$4:$C$100)</f>
        <v/>
      </c>
      <c r="C16" s="26">
        <f>SUMIF('Detalhamento de Itens'!$A$4:$A$100, A16, 'Detalhamento de Itens'!$D$4:$D$100)</f>
        <v/>
      </c>
      <c r="D16" s="9">
        <f>SUMIF('Detalhamento de Itens'!$A$4:$A$100, A16, 'Detalhamento de Itens'!$E$4:$E$100)</f>
        <v/>
      </c>
      <c r="E16" s="9">
        <f>SUMIF('Detalhamento de Itens'!$A$4:$A$100, A16, 'Detalhamento de Itens'!$F$4:$F$100)</f>
        <v/>
      </c>
      <c r="F16" s="9">
        <f>SUMIF('Detalhamento de Itens'!$A$4:$A$100, A16, 'Detalhamento de Itens'!$G$4:$G$100)</f>
        <v/>
      </c>
      <c r="G16" s="9">
        <f>SUMIF('Detalhamento de Itens'!$A$4:$A$100, A16, 'Detalhamento de Itens'!$H$4:$H$100)</f>
        <v/>
      </c>
      <c r="H16" s="9">
        <f>SUMIF('Detalhamento de Itens'!$A$4:$A$100, A16, 'Detalhamento de Itens'!$I$4:$I$100)</f>
        <v/>
      </c>
      <c r="I16" s="9">
        <f>SUM(E16:H16)</f>
        <v/>
      </c>
      <c r="J16" s="9">
        <f>D16-I16</f>
        <v/>
      </c>
    </row>
    <row r="17">
      <c r="A17" s="10" t="inlineStr">
        <is>
          <t>TOTAL GERAL</t>
        </is>
      </c>
      <c r="B17" s="11">
        <f>SUM(B11:B16)</f>
        <v/>
      </c>
      <c r="C17" s="27">
        <f>SUM(C11:C16)</f>
        <v/>
      </c>
      <c r="D17" s="12">
        <f>SUM(D11:D16)</f>
        <v/>
      </c>
      <c r="E17" s="12">
        <f>SUM(E11:E16)</f>
        <v/>
      </c>
      <c r="F17" s="12">
        <f>SUM(F11:F16)</f>
        <v/>
      </c>
      <c r="G17" s="12">
        <f>SUM(G11:G16)</f>
        <v/>
      </c>
      <c r="H17" s="12">
        <f>SUM(H11:H16)</f>
        <v/>
      </c>
      <c r="I17" s="12">
        <f>SUM(I11:I16)</f>
        <v/>
      </c>
      <c r="J17" s="12">
        <f>SUM(J11:J16)</f>
        <v/>
      </c>
    </row>
  </sheetData>
  <mergeCells count="4">
    <mergeCell ref="B4:F4"/>
    <mergeCell ref="B7:F7"/>
    <mergeCell ref="B6:F6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4" customWidth="1" min="4" max="4"/>
    <col width="20" customWidth="1" min="5" max="5"/>
    <col width="22" customWidth="1" min="6" max="6"/>
    <col width="20" customWidth="1" min="7" max="7"/>
    <col width="16" customWidth="1" min="8" max="8"/>
    <col width="16" customWidth="1" min="9" max="9"/>
    <col width="22" customWidth="1" min="10" max="10"/>
    <col width="20" customWidth="1" min="11" max="11"/>
    <col width="18" customWidth="1" min="12" max="12"/>
  </cols>
  <sheetData>
    <row r="1">
      <c r="A1" s="1" t="inlineStr">
        <is>
          <t>DETALHAMENTO DE ITENS E CUSTOS INDIVIDUAIS</t>
        </is>
      </c>
    </row>
    <row r="2">
      <c r="A2" s="2" t="inlineStr">
        <is>
          <t>Lançamento de cada elemento da obra com Insumos, Instalação, Frete e RT</t>
        </is>
      </c>
    </row>
    <row r="3">
      <c r="A3" s="6" t="inlineStr">
        <is>
          <t>Categoria</t>
        </is>
      </c>
      <c r="B3" s="6" t="inlineStr">
        <is>
          <t>Descrição do Item / Cômodo</t>
        </is>
      </c>
      <c r="C3" s="25" t="inlineStr">
        <is>
          <t>Qtd. (Unid)</t>
        </is>
      </c>
      <c r="D3" s="25" t="inlineStr">
        <is>
          <t>Área (m²)</t>
        </is>
      </c>
      <c r="E3" s="6" t="inlineStr">
        <is>
          <t>Custo Fechado</t>
        </is>
      </c>
      <c r="F3" s="6" t="inlineStr">
        <is>
          <t>Valor Insumos</t>
        </is>
      </c>
      <c r="G3" s="6" t="inlineStr">
        <is>
          <t>Valor Instalação</t>
        </is>
      </c>
      <c r="H3" s="6" t="inlineStr">
        <is>
          <t>Custo Frete</t>
        </is>
      </c>
      <c r="I3" s="6" t="inlineStr">
        <is>
          <t>Custo RT</t>
        </is>
      </c>
      <c r="J3" s="6" t="inlineStr">
        <is>
          <t>Custo Total Item</t>
        </is>
      </c>
      <c r="K3" s="6" t="inlineStr">
        <is>
          <t>Saldo Item</t>
        </is>
      </c>
      <c r="L3" s="6" t="inlineStr">
        <is>
          <t>Status</t>
        </is>
      </c>
    </row>
    <row r="4">
      <c r="A4" s="13" t="inlineStr">
        <is>
          <t>Painel</t>
        </is>
      </c>
      <c r="B4" s="13" t="inlineStr">
        <is>
          <t>Painel Ripado Sala de Estar - Freijó</t>
        </is>
      </c>
      <c r="C4" s="8" t="n">
        <v>1</v>
      </c>
      <c r="D4" s="26" t="n">
        <v>24.5</v>
      </c>
      <c r="E4" s="14" t="n">
        <v>8500</v>
      </c>
      <c r="F4" s="14" t="n">
        <v>4200</v>
      </c>
      <c r="G4" s="14" t="n">
        <v>1800</v>
      </c>
      <c r="H4" s="14" t="n">
        <v>350</v>
      </c>
      <c r="I4" s="14" t="n">
        <v>500</v>
      </c>
      <c r="J4" s="14">
        <f>IF(COUNTA(A4:I4)&gt;0, SUM(F4:I4), "")</f>
        <v/>
      </c>
      <c r="K4" s="14">
        <f>IF(COUNTA(A4:I4)&gt;0, E4-J4, "")</f>
        <v/>
      </c>
      <c r="L4" s="15" t="inlineStr">
        <is>
          <t>Concluído</t>
        </is>
      </c>
    </row>
    <row r="5">
      <c r="A5" s="4" t="inlineStr">
        <is>
          <t>Painel</t>
        </is>
      </c>
      <c r="B5" s="4" t="inlineStr">
        <is>
          <t>Painel Cabeceira Suíte Master - Estofado/Wood</t>
        </is>
      </c>
      <c r="C5" s="8" t="n">
        <v>1</v>
      </c>
      <c r="D5" s="26" t="n">
        <v>12</v>
      </c>
      <c r="E5" s="16" t="n">
        <v>6200</v>
      </c>
      <c r="F5" s="16" t="n">
        <v>3100</v>
      </c>
      <c r="G5" s="16" t="n">
        <v>1200</v>
      </c>
      <c r="H5" s="16" t="n">
        <v>250</v>
      </c>
      <c r="I5" s="16" t="n">
        <v>400</v>
      </c>
      <c r="J5" s="16">
        <f>IF(COUNTA(A5:I5)&gt;0, SUM(F5:I5), "")</f>
        <v/>
      </c>
      <c r="K5" s="16">
        <f>IF(COUNTA(A5:I5)&gt;0, E5-J5, "")</f>
        <v/>
      </c>
      <c r="L5" s="17" t="inlineStr">
        <is>
          <t>Em Andamento</t>
        </is>
      </c>
    </row>
    <row r="6">
      <c r="A6" s="13" t="inlineStr">
        <is>
          <t>Portas</t>
        </is>
      </c>
      <c r="B6" s="13" t="inlineStr">
        <is>
          <t>Porta Pivotante Entrada Social (Madeira Cumaru)</t>
        </is>
      </c>
      <c r="C6" s="8" t="n">
        <v>1</v>
      </c>
      <c r="D6" s="26" t="n">
        <v>4.2</v>
      </c>
      <c r="E6" s="14" t="n">
        <v>9800</v>
      </c>
      <c r="F6" s="14" t="n">
        <v>6500</v>
      </c>
      <c r="G6" s="14" t="n">
        <v>1500</v>
      </c>
      <c r="H6" s="14" t="n">
        <v>400</v>
      </c>
      <c r="I6" s="14" t="n">
        <v>600</v>
      </c>
      <c r="J6" s="14">
        <f>IF(COUNTA(A6:I6)&gt;0, SUM(F6:I6), "")</f>
        <v/>
      </c>
      <c r="K6" s="14">
        <f>IF(COUNTA(A6:I6)&gt;0, E6-J6, "")</f>
        <v/>
      </c>
      <c r="L6" s="15" t="inlineStr">
        <is>
          <t>Concluído</t>
        </is>
      </c>
    </row>
    <row r="7">
      <c r="A7" s="4" t="inlineStr">
        <is>
          <t>Portas</t>
        </is>
      </c>
      <c r="B7" s="4" t="inlineStr">
        <is>
          <t>Kit 6 Portas de Passagem Internas Lacadas</t>
        </is>
      </c>
      <c r="C7" s="8" t="n">
        <v>6</v>
      </c>
      <c r="D7" s="26" t="n">
        <v>12.6</v>
      </c>
      <c r="E7" s="16" t="n">
        <v>14500</v>
      </c>
      <c r="F7" s="16" t="n">
        <v>9200</v>
      </c>
      <c r="G7" s="16" t="n">
        <v>2400</v>
      </c>
      <c r="H7" s="16" t="n">
        <v>600</v>
      </c>
      <c r="I7" s="16" t="n">
        <v>900</v>
      </c>
      <c r="J7" s="16">
        <f>IF(COUNTA(A7:I7)&gt;0, SUM(F7:I7), "")</f>
        <v/>
      </c>
      <c r="K7" s="16">
        <f>IF(COUNTA(A7:I7)&gt;0, E7-J7, "")</f>
        <v/>
      </c>
      <c r="L7" s="17" t="inlineStr">
        <is>
          <t>Em Andamento</t>
        </is>
      </c>
    </row>
    <row r="8">
      <c r="A8" s="13" t="inlineStr">
        <is>
          <t>Forro</t>
        </is>
      </c>
      <c r="B8" s="13" t="inlineStr">
        <is>
          <t>Forro de Madeira Cumaru Sacada Gourmet</t>
        </is>
      </c>
      <c r="C8" s="8" t="n">
        <v>1</v>
      </c>
      <c r="D8" s="26" t="n">
        <v>35</v>
      </c>
      <c r="E8" s="14" t="n">
        <v>11200</v>
      </c>
      <c r="F8" s="14" t="n">
        <v>6800</v>
      </c>
      <c r="G8" s="14" t="n">
        <v>2200</v>
      </c>
      <c r="H8" s="14" t="n">
        <v>450</v>
      </c>
      <c r="I8" s="14" t="n">
        <v>700</v>
      </c>
      <c r="J8" s="14">
        <f>IF(COUNTA(A8:I8)&gt;0, SUM(F8:I8), "")</f>
        <v/>
      </c>
      <c r="K8" s="14">
        <f>IF(COUNTA(A8:I8)&gt;0, E8-J8, "")</f>
        <v/>
      </c>
      <c r="L8" s="15" t="inlineStr">
        <is>
          <t>Concluído</t>
        </is>
      </c>
    </row>
    <row r="9">
      <c r="A9" s="4" t="inlineStr">
        <is>
          <t>Forro</t>
        </is>
      </c>
      <c r="B9" s="4" t="inlineStr">
        <is>
          <t>Forro Gesso Acústico Home Theater</t>
        </is>
      </c>
      <c r="C9" s="8" t="n">
        <v>1</v>
      </c>
      <c r="D9" s="26" t="n">
        <v>22</v>
      </c>
      <c r="E9" s="16" t="n">
        <v>5400</v>
      </c>
      <c r="F9" s="16" t="n">
        <v>2800</v>
      </c>
      <c r="G9" s="16" t="n">
        <v>1400</v>
      </c>
      <c r="H9" s="16" t="n">
        <v>200</v>
      </c>
      <c r="I9" s="16" t="n">
        <v>300</v>
      </c>
      <c r="J9" s="16">
        <f>IF(COUNTA(A9:I9)&gt;0, SUM(F9:I9), "")</f>
        <v/>
      </c>
      <c r="K9" s="16">
        <f>IF(COUNTA(A9:I9)&gt;0, E9-J9, "")</f>
        <v/>
      </c>
      <c r="L9" s="17" t="inlineStr">
        <is>
          <t>Pendente</t>
        </is>
      </c>
    </row>
    <row r="10">
      <c r="A10" s="13" t="inlineStr">
        <is>
          <t>Piso</t>
        </is>
      </c>
      <c r="B10" s="13" t="inlineStr">
        <is>
          <t>Piso Vinílico Clicado Área Íntima (140m²)</t>
        </is>
      </c>
      <c r="C10" s="8" t="n">
        <v>1</v>
      </c>
      <c r="D10" s="26" t="n">
        <v>140</v>
      </c>
      <c r="E10" s="14" t="n">
        <v>21000</v>
      </c>
      <c r="F10" s="14" t="n">
        <v>14500</v>
      </c>
      <c r="G10" s="14" t="n">
        <v>3500</v>
      </c>
      <c r="H10" s="14" t="n">
        <v>800</v>
      </c>
      <c r="I10" s="14" t="n">
        <v>1200</v>
      </c>
      <c r="J10" s="14">
        <f>IF(COUNTA(A10:I10)&gt;0, SUM(F10:I10), "")</f>
        <v/>
      </c>
      <c r="K10" s="14">
        <f>IF(COUNTA(A10:I10)&gt;0, E10-J10, "")</f>
        <v/>
      </c>
      <c r="L10" s="15" t="inlineStr">
        <is>
          <t>Em Andamento</t>
        </is>
      </c>
    </row>
    <row r="11">
      <c r="A11" s="4" t="inlineStr">
        <is>
          <t>Piso</t>
        </is>
      </c>
      <c r="B11" s="4" t="inlineStr">
        <is>
          <t>Piso Porcelanato 120x120 Sala/Cozinha</t>
        </is>
      </c>
      <c r="C11" s="8" t="n">
        <v>1</v>
      </c>
      <c r="D11" s="26" t="n">
        <v>110</v>
      </c>
      <c r="E11" s="16" t="n">
        <v>32000</v>
      </c>
      <c r="F11" s="16" t="n">
        <v>22000</v>
      </c>
      <c r="G11" s="16" t="n">
        <v>5500</v>
      </c>
      <c r="H11" s="16" t="n">
        <v>1200</v>
      </c>
      <c r="I11" s="16" t="n">
        <v>1800</v>
      </c>
      <c r="J11" s="16">
        <f>IF(COUNTA(A11:I11)&gt;0, SUM(F11:I11), "")</f>
        <v/>
      </c>
      <c r="K11" s="16">
        <f>IF(COUNTA(A11:I11)&gt;0, E11-J11, "")</f>
        <v/>
      </c>
      <c r="L11" s="17" t="inlineStr">
        <is>
          <t>Concluído</t>
        </is>
      </c>
    </row>
    <row r="12">
      <c r="A12" s="13" t="inlineStr">
        <is>
          <t>Deck</t>
        </is>
      </c>
      <c r="B12" s="13" t="inlineStr">
        <is>
          <t>Deck Madeira Cumaru Área da Piscina (45m²)</t>
        </is>
      </c>
      <c r="C12" s="8" t="n">
        <v>1</v>
      </c>
      <c r="D12" s="26" t="n">
        <v>45</v>
      </c>
      <c r="E12" s="14" t="n">
        <v>18500</v>
      </c>
      <c r="F12" s="14" t="n">
        <v>11500</v>
      </c>
      <c r="G12" s="14" t="n">
        <v>3800</v>
      </c>
      <c r="H12" s="14" t="n">
        <v>650</v>
      </c>
      <c r="I12" s="14" t="n">
        <v>1000</v>
      </c>
      <c r="J12" s="14">
        <f>IF(COUNTA(A12:I12)&gt;0, SUM(F12:I12), "")</f>
        <v/>
      </c>
      <c r="K12" s="14">
        <f>IF(COUNTA(A12:I12)&gt;0, E12-J12, "")</f>
        <v/>
      </c>
      <c r="L12" s="15" t="inlineStr">
        <is>
          <t>Em Andamento</t>
        </is>
      </c>
    </row>
    <row r="13">
      <c r="A13" s="4" t="inlineStr">
        <is>
          <t>Marcenaria (Móveis)</t>
        </is>
      </c>
      <c r="B13" s="4" t="inlineStr">
        <is>
          <t>Cozinha Planejada Completa (MDF Naval + Quartzo)</t>
        </is>
      </c>
      <c r="C13" s="8" t="n">
        <v>1</v>
      </c>
      <c r="D13" s="26" t="n">
        <v>28</v>
      </c>
      <c r="E13" s="16" t="n">
        <v>45000</v>
      </c>
      <c r="F13" s="16" t="n">
        <v>28000</v>
      </c>
      <c r="G13" s="16" t="n">
        <v>6500</v>
      </c>
      <c r="H13" s="16" t="n">
        <v>1500</v>
      </c>
      <c r="I13" s="16" t="n">
        <v>2500</v>
      </c>
      <c r="J13" s="16">
        <f>IF(COUNTA(A13:I13)&gt;0, SUM(F13:I13), "")</f>
        <v/>
      </c>
      <c r="K13" s="16">
        <f>IF(COUNTA(A13:I13)&gt;0, E13-J13, "")</f>
        <v/>
      </c>
      <c r="L13" s="17" t="inlineStr">
        <is>
          <t>Pendente</t>
        </is>
      </c>
    </row>
    <row r="14">
      <c r="A14" s="13" t="inlineStr">
        <is>
          <t>Marcenaria (Móveis)</t>
        </is>
      </c>
      <c r="B14" s="13" t="inlineStr">
        <is>
          <t>Armários Closet Suíte Principal</t>
        </is>
      </c>
      <c r="C14" s="8" t="n">
        <v>1</v>
      </c>
      <c r="D14" s="26" t="n">
        <v>18</v>
      </c>
      <c r="E14" s="14" t="n">
        <v>28000</v>
      </c>
      <c r="F14" s="14" t="n">
        <v>17500</v>
      </c>
      <c r="G14" s="14" t="n">
        <v>4200</v>
      </c>
      <c r="H14" s="14" t="n">
        <v>900</v>
      </c>
      <c r="I14" s="14" t="n">
        <v>1500</v>
      </c>
      <c r="J14" s="14">
        <f>IF(COUNTA(A14:I14)&gt;0, SUM(F14:I14), "")</f>
        <v/>
      </c>
      <c r="K14" s="14">
        <f>IF(COUNTA(A14:I14)&gt;0, E14-J14, "")</f>
        <v/>
      </c>
      <c r="L14" s="15" t="inlineStr">
        <is>
          <t>Pendente</t>
        </is>
      </c>
    </row>
    <row r="15">
      <c r="A15" s="4" t="inlineStr">
        <is>
          <t>Marcenaria (Móveis)</t>
        </is>
      </c>
      <c r="B15" s="4" t="inlineStr">
        <is>
          <t>Móvel Lavabo + Gabinetes Banheiros</t>
        </is>
      </c>
      <c r="C15" s="8" t="n">
        <v>1</v>
      </c>
      <c r="D15" s="26" t="n">
        <v>8.5</v>
      </c>
      <c r="E15" s="16" t="n">
        <v>12400</v>
      </c>
      <c r="F15" s="16" t="n">
        <v>7200</v>
      </c>
      <c r="G15" s="16" t="n">
        <v>1800</v>
      </c>
      <c r="H15" s="16" t="n">
        <v>400</v>
      </c>
      <c r="I15" s="16" t="n">
        <v>700</v>
      </c>
      <c r="J15" s="16">
        <f>IF(COUNTA(A15:I15)&gt;0, SUM(F15:I15), "")</f>
        <v/>
      </c>
      <c r="K15" s="16">
        <f>IF(COUNTA(A15:I15)&gt;0, E15-J15, "")</f>
        <v/>
      </c>
      <c r="L15" s="17" t="inlineStr">
        <is>
          <t>Pendente</t>
        </is>
      </c>
    </row>
    <row r="16">
      <c r="A16" s="17" t="n"/>
      <c r="B16" s="18" t="n"/>
      <c r="C16" s="5" t="n"/>
      <c r="D16" s="5" t="n"/>
      <c r="E16" s="16" t="n"/>
      <c r="F16" s="16" t="n"/>
      <c r="G16" s="16" t="n"/>
      <c r="H16" s="16" t="n"/>
      <c r="I16" s="16" t="n"/>
      <c r="J16" s="16">
        <f>IF(COUNTA(A16:I16)&gt;0, SUM(F16:I16), "")</f>
        <v/>
      </c>
      <c r="K16" s="16">
        <f>IF(COUNTA(A16:I16)&gt;0, E16-J16, "")</f>
        <v/>
      </c>
      <c r="L16" s="17" t="n"/>
    </row>
    <row r="17">
      <c r="A17" s="17" t="n"/>
      <c r="B17" s="18" t="n"/>
      <c r="C17" s="5" t="n"/>
      <c r="D17" s="5" t="n"/>
      <c r="E17" s="16" t="n"/>
      <c r="F17" s="16" t="n"/>
      <c r="G17" s="16" t="n"/>
      <c r="H17" s="16" t="n"/>
      <c r="I17" s="16" t="n"/>
      <c r="J17" s="16">
        <f>IF(COUNTA(A17:I17)&gt;0, SUM(F17:I17), "")</f>
        <v/>
      </c>
      <c r="K17" s="16">
        <f>IF(COUNTA(A17:I17)&gt;0, E17-J17, "")</f>
        <v/>
      </c>
      <c r="L17" s="17" t="n"/>
    </row>
    <row r="18">
      <c r="A18" s="17" t="n"/>
      <c r="B18" s="18" t="n"/>
      <c r="C18" s="5" t="n"/>
      <c r="D18" s="5" t="n"/>
      <c r="E18" s="16" t="n"/>
      <c r="F18" s="16" t="n"/>
      <c r="G18" s="16" t="n"/>
      <c r="H18" s="16" t="n"/>
      <c r="I18" s="16" t="n"/>
      <c r="J18" s="16">
        <f>IF(COUNTA(A18:I18)&gt;0, SUM(F18:I18), "")</f>
        <v/>
      </c>
      <c r="K18" s="16">
        <f>IF(COUNTA(A18:I18)&gt;0, E18-J18, "")</f>
        <v/>
      </c>
      <c r="L18" s="17" t="n"/>
    </row>
    <row r="19">
      <c r="A19" s="17" t="n"/>
      <c r="B19" s="18" t="n"/>
      <c r="C19" s="5" t="n"/>
      <c r="D19" s="5" t="n"/>
      <c r="E19" s="16" t="n"/>
      <c r="F19" s="16" t="n"/>
      <c r="G19" s="16" t="n"/>
      <c r="H19" s="16" t="n"/>
      <c r="I19" s="16" t="n"/>
      <c r="J19" s="16">
        <f>IF(COUNTA(A19:I19)&gt;0, SUM(F19:I19), "")</f>
        <v/>
      </c>
      <c r="K19" s="16">
        <f>IF(COUNTA(A19:I19)&gt;0, E19-J19, "")</f>
        <v/>
      </c>
      <c r="L19" s="17" t="n"/>
    </row>
    <row r="20">
      <c r="A20" s="17" t="n"/>
      <c r="B20" s="18" t="n"/>
      <c r="C20" s="5" t="n"/>
      <c r="D20" s="5" t="n"/>
      <c r="E20" s="16" t="n"/>
      <c r="F20" s="16" t="n"/>
      <c r="G20" s="16" t="n"/>
      <c r="H20" s="16" t="n"/>
      <c r="I20" s="16" t="n"/>
      <c r="J20" s="16">
        <f>IF(COUNTA(A20:I20)&gt;0, SUM(F20:I20), "")</f>
        <v/>
      </c>
      <c r="K20" s="16">
        <f>IF(COUNTA(A20:I20)&gt;0, E20-J20, "")</f>
        <v/>
      </c>
      <c r="L20" s="17" t="n"/>
    </row>
    <row r="21">
      <c r="A21" s="17" t="n"/>
      <c r="B21" s="18" t="n"/>
      <c r="C21" s="5" t="n"/>
      <c r="D21" s="5" t="n"/>
      <c r="E21" s="16" t="n"/>
      <c r="F21" s="16" t="n"/>
      <c r="G21" s="16" t="n"/>
      <c r="H21" s="16" t="n"/>
      <c r="I21" s="16" t="n"/>
      <c r="J21" s="16">
        <f>IF(COUNTA(A21:I21)&gt;0, SUM(F21:I21), "")</f>
        <v/>
      </c>
      <c r="K21" s="16">
        <f>IF(COUNTA(A21:I21)&gt;0, E21-J21, "")</f>
        <v/>
      </c>
      <c r="L21" s="17" t="n"/>
    </row>
    <row r="22">
      <c r="A22" s="17" t="n"/>
      <c r="B22" s="18" t="n"/>
      <c r="C22" s="5" t="n"/>
      <c r="D22" s="5" t="n"/>
      <c r="E22" s="16" t="n"/>
      <c r="F22" s="16" t="n"/>
      <c r="G22" s="16" t="n"/>
      <c r="H22" s="16" t="n"/>
      <c r="I22" s="16" t="n"/>
      <c r="J22" s="16">
        <f>IF(COUNTA(A22:I22)&gt;0, SUM(F22:I22), "")</f>
        <v/>
      </c>
      <c r="K22" s="16">
        <f>IF(COUNTA(A22:I22)&gt;0, E22-J22, "")</f>
        <v/>
      </c>
      <c r="L22" s="17" t="n"/>
    </row>
    <row r="23">
      <c r="A23" s="17" t="n"/>
      <c r="B23" s="18" t="n"/>
      <c r="C23" s="5" t="n"/>
      <c r="D23" s="5" t="n"/>
      <c r="E23" s="16" t="n"/>
      <c r="F23" s="16" t="n"/>
      <c r="G23" s="16" t="n"/>
      <c r="H23" s="16" t="n"/>
      <c r="I23" s="16" t="n"/>
      <c r="J23" s="16">
        <f>IF(COUNTA(A23:I23)&gt;0, SUM(F23:I23), "")</f>
        <v/>
      </c>
      <c r="K23" s="16">
        <f>IF(COUNTA(A23:I23)&gt;0, E23-J23, "")</f>
        <v/>
      </c>
      <c r="L23" s="17" t="n"/>
    </row>
    <row r="24">
      <c r="A24" s="17" t="n"/>
      <c r="B24" s="18" t="n"/>
      <c r="C24" s="5" t="n"/>
      <c r="D24" s="5" t="n"/>
      <c r="E24" s="16" t="n"/>
      <c r="F24" s="16" t="n"/>
      <c r="G24" s="16" t="n"/>
      <c r="H24" s="16" t="n"/>
      <c r="I24" s="16" t="n"/>
      <c r="J24" s="16">
        <f>IF(COUNTA(A24:I24)&gt;0, SUM(F24:I24), "")</f>
        <v/>
      </c>
      <c r="K24" s="16">
        <f>IF(COUNTA(A24:I24)&gt;0, E24-J24, "")</f>
        <v/>
      </c>
      <c r="L24" s="17" t="n"/>
    </row>
    <row r="25">
      <c r="A25" s="17" t="n"/>
      <c r="B25" s="18" t="n"/>
      <c r="C25" s="5" t="n"/>
      <c r="D25" s="5" t="n"/>
      <c r="E25" s="16" t="n"/>
      <c r="F25" s="16" t="n"/>
      <c r="G25" s="16" t="n"/>
      <c r="H25" s="16" t="n"/>
      <c r="I25" s="16" t="n"/>
      <c r="J25" s="16">
        <f>IF(COUNTA(A25:I25)&gt;0, SUM(F25:I25), "")</f>
        <v/>
      </c>
      <c r="K25" s="16">
        <f>IF(COUNTA(A25:I25)&gt;0, E25-J25, "")</f>
        <v/>
      </c>
      <c r="L25" s="17" t="n"/>
    </row>
    <row r="26">
      <c r="A26" s="17" t="n"/>
      <c r="B26" s="18" t="n"/>
      <c r="C26" s="5" t="n"/>
      <c r="D26" s="5" t="n"/>
      <c r="E26" s="16" t="n"/>
      <c r="F26" s="16" t="n"/>
      <c r="G26" s="16" t="n"/>
      <c r="H26" s="16" t="n"/>
      <c r="I26" s="16" t="n"/>
      <c r="J26" s="16">
        <f>IF(COUNTA(A26:I26)&gt;0, SUM(F26:I26), "")</f>
        <v/>
      </c>
      <c r="K26" s="16">
        <f>IF(COUNTA(A26:I26)&gt;0, E26-J26, "")</f>
        <v/>
      </c>
      <c r="L26" s="17" t="n"/>
    </row>
    <row r="27">
      <c r="A27" s="17" t="n"/>
      <c r="B27" s="18" t="n"/>
      <c r="C27" s="5" t="n"/>
      <c r="D27" s="5" t="n"/>
      <c r="E27" s="16" t="n"/>
      <c r="F27" s="16" t="n"/>
      <c r="G27" s="16" t="n"/>
      <c r="H27" s="16" t="n"/>
      <c r="I27" s="16" t="n"/>
      <c r="J27" s="16">
        <f>IF(COUNTA(A27:I27)&gt;0, SUM(F27:I27), "")</f>
        <v/>
      </c>
      <c r="K27" s="16">
        <f>IF(COUNTA(A27:I27)&gt;0, E27-J27, "")</f>
        <v/>
      </c>
      <c r="L27" s="17" t="n"/>
    </row>
    <row r="28">
      <c r="A28" s="17" t="n"/>
      <c r="B28" s="18" t="n"/>
      <c r="C28" s="5" t="n"/>
      <c r="D28" s="5" t="n"/>
      <c r="E28" s="16" t="n"/>
      <c r="F28" s="16" t="n"/>
      <c r="G28" s="16" t="n"/>
      <c r="H28" s="16" t="n"/>
      <c r="I28" s="16" t="n"/>
      <c r="J28" s="16">
        <f>IF(COUNTA(A28:I28)&gt;0, SUM(F28:I28), "")</f>
        <v/>
      </c>
      <c r="K28" s="16">
        <f>IF(COUNTA(A28:I28)&gt;0, E28-J28, "")</f>
        <v/>
      </c>
      <c r="L28" s="17" t="n"/>
    </row>
    <row r="29">
      <c r="A29" s="17" t="n"/>
      <c r="B29" s="18" t="n"/>
      <c r="C29" s="5" t="n"/>
      <c r="D29" s="5" t="n"/>
      <c r="E29" s="16" t="n"/>
      <c r="F29" s="16" t="n"/>
      <c r="G29" s="16" t="n"/>
      <c r="H29" s="16" t="n"/>
      <c r="I29" s="16" t="n"/>
      <c r="J29" s="16">
        <f>IF(COUNTA(A29:I29)&gt;0, SUM(F29:I29), "")</f>
        <v/>
      </c>
      <c r="K29" s="16">
        <f>IF(COUNTA(A29:I29)&gt;0, E29-J29, "")</f>
        <v/>
      </c>
      <c r="L29" s="17" t="n"/>
    </row>
    <row r="30">
      <c r="A30" s="17" t="n"/>
      <c r="B30" s="18" t="n"/>
      <c r="C30" s="5" t="n"/>
      <c r="D30" s="5" t="n"/>
      <c r="E30" s="16" t="n"/>
      <c r="F30" s="16" t="n"/>
      <c r="G30" s="16" t="n"/>
      <c r="H30" s="16" t="n"/>
      <c r="I30" s="16" t="n"/>
      <c r="J30" s="16">
        <f>IF(COUNTA(A30:I30)&gt;0, SUM(F30:I30), "")</f>
        <v/>
      </c>
      <c r="K30" s="16">
        <f>IF(COUNTA(A30:I30)&gt;0, E30-J30, "")</f>
        <v/>
      </c>
      <c r="L30" s="17" t="n"/>
    </row>
    <row r="31">
      <c r="A31" s="17" t="n"/>
      <c r="B31" s="18" t="n"/>
      <c r="C31" s="5" t="n"/>
      <c r="D31" s="5" t="n"/>
      <c r="E31" s="16" t="n"/>
      <c r="F31" s="16" t="n"/>
      <c r="G31" s="16" t="n"/>
      <c r="H31" s="16" t="n"/>
      <c r="I31" s="16" t="n"/>
      <c r="J31" s="16">
        <f>IF(COUNTA(A31:I31)&gt;0, SUM(F31:I31), "")</f>
        <v/>
      </c>
      <c r="K31" s="16">
        <f>IF(COUNTA(A31:I31)&gt;0, E31-J31, "")</f>
        <v/>
      </c>
      <c r="L31" s="17" t="n"/>
    </row>
    <row r="32">
      <c r="A32" s="17" t="n"/>
      <c r="B32" s="18" t="n"/>
      <c r="C32" s="5" t="n"/>
      <c r="D32" s="5" t="n"/>
      <c r="E32" s="16" t="n"/>
      <c r="F32" s="16" t="n"/>
      <c r="G32" s="16" t="n"/>
      <c r="H32" s="16" t="n"/>
      <c r="I32" s="16" t="n"/>
      <c r="J32" s="16">
        <f>IF(COUNTA(A32:I32)&gt;0, SUM(F32:I32), "")</f>
        <v/>
      </c>
      <c r="K32" s="16">
        <f>IF(COUNTA(A32:I32)&gt;0, E32-J32, "")</f>
        <v/>
      </c>
      <c r="L32" s="17" t="n"/>
    </row>
    <row r="33">
      <c r="A33" s="17" t="n"/>
      <c r="B33" s="18" t="n"/>
      <c r="C33" s="5" t="n"/>
      <c r="D33" s="5" t="n"/>
      <c r="E33" s="16" t="n"/>
      <c r="F33" s="16" t="n"/>
      <c r="G33" s="16" t="n"/>
      <c r="H33" s="16" t="n"/>
      <c r="I33" s="16" t="n"/>
      <c r="J33" s="16">
        <f>IF(COUNTA(A33:I33)&gt;0, SUM(F33:I33), "")</f>
        <v/>
      </c>
      <c r="K33" s="16">
        <f>IF(COUNTA(A33:I33)&gt;0, E33-J33, "")</f>
        <v/>
      </c>
      <c r="L33" s="17" t="n"/>
    </row>
    <row r="34">
      <c r="A34" s="17" t="n"/>
      <c r="B34" s="18" t="n"/>
      <c r="C34" s="5" t="n"/>
      <c r="D34" s="5" t="n"/>
      <c r="E34" s="16" t="n"/>
      <c r="F34" s="16" t="n"/>
      <c r="G34" s="16" t="n"/>
      <c r="H34" s="16" t="n"/>
      <c r="I34" s="16" t="n"/>
      <c r="J34" s="16">
        <f>IF(COUNTA(A34:I34)&gt;0, SUM(F34:I34), "")</f>
        <v/>
      </c>
      <c r="K34" s="16">
        <f>IF(COUNTA(A34:I34)&gt;0, E34-J34, "")</f>
        <v/>
      </c>
      <c r="L34" s="17" t="n"/>
    </row>
    <row r="35">
      <c r="A35" s="17" t="n"/>
      <c r="B35" s="18" t="n"/>
      <c r="C35" s="5" t="n"/>
      <c r="D35" s="5" t="n"/>
      <c r="E35" s="16" t="n"/>
      <c r="F35" s="16" t="n"/>
      <c r="G35" s="16" t="n"/>
      <c r="H35" s="16" t="n"/>
      <c r="I35" s="16" t="n"/>
      <c r="J35" s="16">
        <f>IF(COUNTA(A35:I35)&gt;0, SUM(F35:I35), "")</f>
        <v/>
      </c>
      <c r="K35" s="16">
        <f>IF(COUNTA(A35:I35)&gt;0, E35-J35, "")</f>
        <v/>
      </c>
      <c r="L35" s="17" t="n"/>
    </row>
    <row r="36">
      <c r="A36" s="17" t="n"/>
      <c r="B36" s="18" t="n"/>
      <c r="C36" s="5" t="n"/>
      <c r="D36" s="5" t="n"/>
      <c r="E36" s="16" t="n"/>
      <c r="F36" s="16" t="n"/>
      <c r="G36" s="16" t="n"/>
      <c r="H36" s="16" t="n"/>
      <c r="I36" s="16" t="n"/>
      <c r="J36" s="16">
        <f>IF(COUNTA(A36:I36)&gt;0, SUM(F36:I36), "")</f>
        <v/>
      </c>
      <c r="K36" s="16">
        <f>IF(COUNTA(A36:I36)&gt;0, E36-J36, "")</f>
        <v/>
      </c>
      <c r="L36" s="17" t="n"/>
    </row>
    <row r="37">
      <c r="A37" s="17" t="n"/>
      <c r="B37" s="18" t="n"/>
      <c r="C37" s="5" t="n"/>
      <c r="D37" s="5" t="n"/>
      <c r="E37" s="16" t="n"/>
      <c r="F37" s="16" t="n"/>
      <c r="G37" s="16" t="n"/>
      <c r="H37" s="16" t="n"/>
      <c r="I37" s="16" t="n"/>
      <c r="J37" s="16">
        <f>IF(COUNTA(A37:I37)&gt;0, SUM(F37:I37), "")</f>
        <v/>
      </c>
      <c r="K37" s="16">
        <f>IF(COUNTA(A37:I37)&gt;0, E37-J37, "")</f>
        <v/>
      </c>
      <c r="L37" s="17" t="n"/>
    </row>
    <row r="38">
      <c r="A38" s="17" t="n"/>
      <c r="B38" s="18" t="n"/>
      <c r="C38" s="5" t="n"/>
      <c r="D38" s="5" t="n"/>
      <c r="E38" s="16" t="n"/>
      <c r="F38" s="16" t="n"/>
      <c r="G38" s="16" t="n"/>
      <c r="H38" s="16" t="n"/>
      <c r="I38" s="16" t="n"/>
      <c r="J38" s="16">
        <f>IF(COUNTA(A38:I38)&gt;0, SUM(F38:I38), "")</f>
        <v/>
      </c>
      <c r="K38" s="16">
        <f>IF(COUNTA(A38:I38)&gt;0, E38-J38, "")</f>
        <v/>
      </c>
      <c r="L38" s="17" t="n"/>
    </row>
    <row r="39">
      <c r="A39" s="17" t="n"/>
      <c r="B39" s="18" t="n"/>
      <c r="C39" s="5" t="n"/>
      <c r="D39" s="5" t="n"/>
      <c r="E39" s="16" t="n"/>
      <c r="F39" s="16" t="n"/>
      <c r="G39" s="16" t="n"/>
      <c r="H39" s="16" t="n"/>
      <c r="I39" s="16" t="n"/>
      <c r="J39" s="16">
        <f>IF(COUNTA(A39:I39)&gt;0, SUM(F39:I39), "")</f>
        <v/>
      </c>
      <c r="K39" s="16">
        <f>IF(COUNTA(A39:I39)&gt;0, E39-J39, "")</f>
        <v/>
      </c>
      <c r="L39" s="17" t="n"/>
    </row>
    <row r="40">
      <c r="A40" s="17" t="n"/>
      <c r="B40" s="18" t="n"/>
      <c r="C40" s="5" t="n"/>
      <c r="D40" s="5" t="n"/>
      <c r="E40" s="16" t="n"/>
      <c r="F40" s="16" t="n"/>
      <c r="G40" s="16" t="n"/>
      <c r="H40" s="16" t="n"/>
      <c r="I40" s="16" t="n"/>
      <c r="J40" s="16">
        <f>IF(COUNTA(A40:I40)&gt;0, SUM(F40:I40), "")</f>
        <v/>
      </c>
      <c r="K40" s="16">
        <f>IF(COUNTA(A40:I40)&gt;0, E40-J40, "")</f>
        <v/>
      </c>
      <c r="L40" s="17" t="n"/>
    </row>
    <row r="41">
      <c r="A41" s="17" t="n"/>
      <c r="B41" s="18" t="n"/>
      <c r="C41" s="5" t="n"/>
      <c r="D41" s="5" t="n"/>
      <c r="E41" s="16" t="n"/>
      <c r="F41" s="16" t="n"/>
      <c r="G41" s="16" t="n"/>
      <c r="H41" s="16" t="n"/>
      <c r="I41" s="16" t="n"/>
      <c r="J41" s="16">
        <f>IF(COUNTA(A41:I41)&gt;0, SUM(F41:I41), "")</f>
        <v/>
      </c>
      <c r="K41" s="16">
        <f>IF(COUNTA(A41:I41)&gt;0, E41-J41, "")</f>
        <v/>
      </c>
      <c r="L41" s="17" t="n"/>
    </row>
    <row r="42">
      <c r="A42" s="17" t="n"/>
      <c r="B42" s="18" t="n"/>
      <c r="C42" s="5" t="n"/>
      <c r="D42" s="5" t="n"/>
      <c r="E42" s="16" t="n"/>
      <c r="F42" s="16" t="n"/>
      <c r="G42" s="16" t="n"/>
      <c r="H42" s="16" t="n"/>
      <c r="I42" s="16" t="n"/>
      <c r="J42" s="16">
        <f>IF(COUNTA(A42:I42)&gt;0, SUM(F42:I42), "")</f>
        <v/>
      </c>
      <c r="K42" s="16">
        <f>IF(COUNTA(A42:I42)&gt;0, E42-J42, "")</f>
        <v/>
      </c>
      <c r="L42" s="17" t="n"/>
    </row>
    <row r="43">
      <c r="A43" s="17" t="n"/>
      <c r="B43" s="18" t="n"/>
      <c r="C43" s="5" t="n"/>
      <c r="D43" s="5" t="n"/>
      <c r="E43" s="16" t="n"/>
      <c r="F43" s="16" t="n"/>
      <c r="G43" s="16" t="n"/>
      <c r="H43" s="16" t="n"/>
      <c r="I43" s="16" t="n"/>
      <c r="J43" s="16">
        <f>IF(COUNTA(A43:I43)&gt;0, SUM(F43:I43), "")</f>
        <v/>
      </c>
      <c r="K43" s="16">
        <f>IF(COUNTA(A43:I43)&gt;0, E43-J43, "")</f>
        <v/>
      </c>
      <c r="L43" s="17" t="n"/>
    </row>
    <row r="44">
      <c r="A44" s="17" t="n"/>
      <c r="B44" s="18" t="n"/>
      <c r="C44" s="5" t="n"/>
      <c r="D44" s="5" t="n"/>
      <c r="E44" s="16" t="n"/>
      <c r="F44" s="16" t="n"/>
      <c r="G44" s="16" t="n"/>
      <c r="H44" s="16" t="n"/>
      <c r="I44" s="16" t="n"/>
      <c r="J44" s="16">
        <f>IF(COUNTA(A44:I44)&gt;0, SUM(F44:I44), "")</f>
        <v/>
      </c>
      <c r="K44" s="16">
        <f>IF(COUNTA(A44:I44)&gt;0, E44-J44, "")</f>
        <v/>
      </c>
      <c r="L44" s="17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28">
        <f>IF(COUNTA(A45:I45)&gt;0, SUM(F45:I45), "")</f>
        <v/>
      </c>
      <c r="K45" s="28">
        <f>IF(COUNTA(A45:I45)&gt;0, E45-J45, "")</f>
        <v/>
      </c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28">
        <f>IF(COUNTA(A46:I46)&gt;0, SUM(F46:I46), "")</f>
        <v/>
      </c>
      <c r="K46" s="28">
        <f>IF(COUNTA(A46:I46)&gt;0, E46-J46, "")</f>
        <v/>
      </c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28">
        <f>IF(COUNTA(A47:I47)&gt;0, SUM(F47:I47), "")</f>
        <v/>
      </c>
      <c r="K47" s="28">
        <f>IF(COUNTA(A47:I47)&gt;0, E47-J47, "")</f>
        <v/>
      </c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28">
        <f>IF(COUNTA(A48:I48)&gt;0, SUM(F48:I48), "")</f>
        <v/>
      </c>
      <c r="K48" s="28">
        <f>IF(COUNTA(A48:I48)&gt;0, E48-J48, "")</f>
        <v/>
      </c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28">
        <f>IF(COUNTA(A49:I49)&gt;0, SUM(F49:I49), "")</f>
        <v/>
      </c>
      <c r="K49" s="28">
        <f>IF(COUNTA(A49:I49)&gt;0, E49-J49, "")</f>
        <v/>
      </c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28">
        <f>IF(COUNTA(A50:I50)&gt;0, SUM(F50:I50), "")</f>
        <v/>
      </c>
      <c r="K50" s="28">
        <f>IF(COUNTA(A50:I50)&gt;0, E50-J50, "")</f>
        <v/>
      </c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28">
        <f>IF(COUNTA(A51:I51)&gt;0, SUM(F51:I51), "")</f>
        <v/>
      </c>
      <c r="K51" s="28">
        <f>IF(COUNTA(A51:I51)&gt;0, E51-J51, "")</f>
        <v/>
      </c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28">
        <f>IF(COUNTA(A52:I52)&gt;0, SUM(F52:I52), "")</f>
        <v/>
      </c>
      <c r="K52" s="28">
        <f>IF(COUNTA(A52:I52)&gt;0, E52-J52, "")</f>
        <v/>
      </c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28">
        <f>IF(COUNTA(A53:I53)&gt;0, SUM(F53:I53), "")</f>
        <v/>
      </c>
      <c r="K53" s="28">
        <f>IF(COUNTA(A53:I53)&gt;0, E53-J53, "")</f>
        <v/>
      </c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28">
        <f>IF(COUNTA(A54:I54)&gt;0, SUM(F54:I54), "")</f>
        <v/>
      </c>
      <c r="K54" s="28">
        <f>IF(COUNTA(A54:I54)&gt;0, E54-J54, "")</f>
        <v/>
      </c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28">
        <f>IF(COUNTA(A55:I55)&gt;0, SUM(F55:I55), "")</f>
        <v/>
      </c>
      <c r="K55" s="28">
        <f>IF(COUNTA(A55:I55)&gt;0, E55-J55, "")</f>
        <v/>
      </c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28">
        <f>IF(COUNTA(A56:I56)&gt;0, SUM(F56:I56), "")</f>
        <v/>
      </c>
      <c r="K56" s="28">
        <f>IF(COUNTA(A56:I56)&gt;0, E56-J56, "")</f>
        <v/>
      </c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28">
        <f>IF(COUNTA(A57:I57)&gt;0, SUM(F57:I57), "")</f>
        <v/>
      </c>
      <c r="K57" s="28">
        <f>IF(COUNTA(A57:I57)&gt;0, E57-J57, "")</f>
        <v/>
      </c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28">
        <f>IF(COUNTA(A58:I58)&gt;0, SUM(F58:I58), "")</f>
        <v/>
      </c>
      <c r="K58" s="28">
        <f>IF(COUNTA(A58:I58)&gt;0, E58-J58, "")</f>
        <v/>
      </c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28">
        <f>IF(COUNTA(A59:I59)&gt;0, SUM(F59:I59), "")</f>
        <v/>
      </c>
      <c r="K59" s="28">
        <f>IF(COUNTA(A59:I59)&gt;0, E59-J59, "")</f>
        <v/>
      </c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28">
        <f>IF(COUNTA(A60:I60)&gt;0, SUM(F60:I60), "")</f>
        <v/>
      </c>
      <c r="K60" s="28">
        <f>IF(COUNTA(A60:I60)&gt;0, E60-J60, "")</f>
        <v/>
      </c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28">
        <f>IF(COUNTA(A61:I61)&gt;0, SUM(F61:I61), "")</f>
        <v/>
      </c>
      <c r="K61" s="28">
        <f>IF(COUNTA(A61:I61)&gt;0, E61-J61, "")</f>
        <v/>
      </c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28">
        <f>IF(COUNTA(A62:I62)&gt;0, SUM(F62:I62), "")</f>
        <v/>
      </c>
      <c r="K62" s="28">
        <f>IF(COUNTA(A62:I62)&gt;0, E62-J62, "")</f>
        <v/>
      </c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28">
        <f>IF(COUNTA(A63:I63)&gt;0, SUM(F63:I63), "")</f>
        <v/>
      </c>
      <c r="K63" s="28">
        <f>IF(COUNTA(A63:I63)&gt;0, E63-J63, "")</f>
        <v/>
      </c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28">
        <f>IF(COUNTA(A64:I64)&gt;0, SUM(F64:I64), "")</f>
        <v/>
      </c>
      <c r="K64" s="28">
        <f>IF(COUNTA(A64:I64)&gt;0, E64-J64, "")</f>
        <v/>
      </c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28">
        <f>IF(COUNTA(A65:I65)&gt;0, SUM(F65:I65), "")</f>
        <v/>
      </c>
      <c r="K65" s="28">
        <f>IF(COUNTA(A65:I65)&gt;0, E65-J65, "")</f>
        <v/>
      </c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28">
        <f>IF(COUNTA(A66:I66)&gt;0, SUM(F66:I66), "")</f>
        <v/>
      </c>
      <c r="K66" s="28">
        <f>IF(COUNTA(A66:I66)&gt;0, E66-J66, "")</f>
        <v/>
      </c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28">
        <f>IF(COUNTA(A67:I67)&gt;0, SUM(F67:I67), "")</f>
        <v/>
      </c>
      <c r="K67" s="28">
        <f>IF(COUNTA(A67:I67)&gt;0, E67-J67, "")</f>
        <v/>
      </c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28">
        <f>IF(COUNTA(A68:I68)&gt;0, SUM(F68:I68), "")</f>
        <v/>
      </c>
      <c r="K68" s="28">
        <f>IF(COUNTA(A68:I68)&gt;0, E68-J68, "")</f>
        <v/>
      </c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28">
        <f>IF(COUNTA(A69:I69)&gt;0, SUM(F69:I69), "")</f>
        <v/>
      </c>
      <c r="K69" s="28">
        <f>IF(COUNTA(A69:I69)&gt;0, E69-J69, "")</f>
        <v/>
      </c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28">
        <f>IF(COUNTA(A70:I70)&gt;0, SUM(F70:I70), "")</f>
        <v/>
      </c>
      <c r="K70" s="28">
        <f>IF(COUNTA(A70:I70)&gt;0, E70-J70, "")</f>
        <v/>
      </c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28">
        <f>IF(COUNTA(A71:I71)&gt;0, SUM(F71:I71), "")</f>
        <v/>
      </c>
      <c r="K71" s="28">
        <f>IF(COUNTA(A71:I71)&gt;0, E71-J71, "")</f>
        <v/>
      </c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28">
        <f>IF(COUNTA(A72:I72)&gt;0, SUM(F72:I72), "")</f>
        <v/>
      </c>
      <c r="K72" s="28">
        <f>IF(COUNTA(A72:I72)&gt;0, E72-J72, "")</f>
        <v/>
      </c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28">
        <f>IF(COUNTA(A73:I73)&gt;0, SUM(F73:I73), "")</f>
        <v/>
      </c>
      <c r="K73" s="28">
        <f>IF(COUNTA(A73:I73)&gt;0, E73-J73, "")</f>
        <v/>
      </c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28">
        <f>IF(COUNTA(A74:I74)&gt;0, SUM(F74:I74), "")</f>
        <v/>
      </c>
      <c r="K74" s="28">
        <f>IF(COUNTA(A74:I74)&gt;0, E74-J74, "")</f>
        <v/>
      </c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28">
        <f>IF(COUNTA(A75:I75)&gt;0, SUM(F75:I75), "")</f>
        <v/>
      </c>
      <c r="K75" s="28">
        <f>IF(COUNTA(A75:I75)&gt;0, E75-J75, "")</f>
        <v/>
      </c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28">
        <f>IF(COUNTA(A76:I76)&gt;0, SUM(F76:I76), "")</f>
        <v/>
      </c>
      <c r="K76" s="28">
        <f>IF(COUNTA(A76:I76)&gt;0, E76-J76, "")</f>
        <v/>
      </c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28">
        <f>IF(COUNTA(A77:I77)&gt;0, SUM(F77:I77), "")</f>
        <v/>
      </c>
      <c r="K77" s="28">
        <f>IF(COUNTA(A77:I77)&gt;0, E77-J77, "")</f>
        <v/>
      </c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28">
        <f>IF(COUNTA(A78:I78)&gt;0, SUM(F78:I78), "")</f>
        <v/>
      </c>
      <c r="K78" s="28">
        <f>IF(COUNTA(A78:I78)&gt;0, E78-J78, "")</f>
        <v/>
      </c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28">
        <f>IF(COUNTA(A79:I79)&gt;0, SUM(F79:I79), "")</f>
        <v/>
      </c>
      <c r="K79" s="28">
        <f>IF(COUNTA(A79:I79)&gt;0, E79-J79, "")</f>
        <v/>
      </c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28">
        <f>IF(COUNTA(A80:I80)&gt;0, SUM(F80:I80), "")</f>
        <v/>
      </c>
      <c r="K80" s="28">
        <f>IF(COUNTA(A80:I80)&gt;0, E80-J80, "")</f>
        <v/>
      </c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28">
        <f>IF(COUNTA(A81:I81)&gt;0, SUM(F81:I81), "")</f>
        <v/>
      </c>
      <c r="K81" s="28">
        <f>IF(COUNTA(A81:I81)&gt;0, E81-J81, "")</f>
        <v/>
      </c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28">
        <f>IF(COUNTA(A82:I82)&gt;0, SUM(F82:I82), "")</f>
        <v/>
      </c>
      <c r="K82" s="28">
        <f>IF(COUNTA(A82:I82)&gt;0, E82-J82, "")</f>
        <v/>
      </c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28">
        <f>IF(COUNTA(A83:I83)&gt;0, SUM(F83:I83), "")</f>
        <v/>
      </c>
      <c r="K83" s="28">
        <f>IF(COUNTA(A83:I83)&gt;0, E83-J83, "")</f>
        <v/>
      </c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28">
        <f>IF(COUNTA(A84:I84)&gt;0, SUM(F84:I84), "")</f>
        <v/>
      </c>
      <c r="K84" s="28">
        <f>IF(COUNTA(A84:I84)&gt;0, E84-J84, "")</f>
        <v/>
      </c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28">
        <f>IF(COUNTA(A85:I85)&gt;0, SUM(F85:I85), "")</f>
        <v/>
      </c>
      <c r="K85" s="28">
        <f>IF(COUNTA(A85:I85)&gt;0, E85-J85, "")</f>
        <v/>
      </c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28">
        <f>IF(COUNTA(A86:I86)&gt;0, SUM(F86:I86), "")</f>
        <v/>
      </c>
      <c r="K86" s="28">
        <f>IF(COUNTA(A86:I86)&gt;0, E86-J86, "")</f>
        <v/>
      </c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28">
        <f>IF(COUNTA(A87:I87)&gt;0, SUM(F87:I87), "")</f>
        <v/>
      </c>
      <c r="K87" s="28">
        <f>IF(COUNTA(A87:I87)&gt;0, E87-J87, "")</f>
        <v/>
      </c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28">
        <f>IF(COUNTA(A88:I88)&gt;0, SUM(F88:I88), "")</f>
        <v/>
      </c>
      <c r="K88" s="28">
        <f>IF(COUNTA(A88:I88)&gt;0, E88-J88, "")</f>
        <v/>
      </c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28">
        <f>IF(COUNTA(A89:I89)&gt;0, SUM(F89:I89), "")</f>
        <v/>
      </c>
      <c r="K89" s="28">
        <f>IF(COUNTA(A89:I89)&gt;0, E89-J89, "")</f>
        <v/>
      </c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28">
        <f>IF(COUNTA(A90:I90)&gt;0, SUM(F90:I90), "")</f>
        <v/>
      </c>
      <c r="K90" s="28">
        <f>IF(COUNTA(A90:I90)&gt;0, E90-J90, "")</f>
        <v/>
      </c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28">
        <f>IF(COUNTA(A91:I91)&gt;0, SUM(F91:I91), "")</f>
        <v/>
      </c>
      <c r="K91" s="28">
        <f>IF(COUNTA(A91:I91)&gt;0, E91-J91, "")</f>
        <v/>
      </c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28">
        <f>IF(COUNTA(A92:I92)&gt;0, SUM(F92:I92), "")</f>
        <v/>
      </c>
      <c r="K92" s="28">
        <f>IF(COUNTA(A92:I92)&gt;0, E92-J92, "")</f>
        <v/>
      </c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28">
        <f>IF(COUNTA(A93:I93)&gt;0, SUM(F93:I93), "")</f>
        <v/>
      </c>
      <c r="K93" s="28">
        <f>IF(COUNTA(A93:I93)&gt;0, E93-J93, "")</f>
        <v/>
      </c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28">
        <f>IF(COUNTA(A94:I94)&gt;0, SUM(F94:I94), "")</f>
        <v/>
      </c>
      <c r="K94" s="28">
        <f>IF(COUNTA(A94:I94)&gt;0, E94-J94, "")</f>
        <v/>
      </c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28">
        <f>IF(COUNTA(A95:I95)&gt;0, SUM(F95:I95), "")</f>
        <v/>
      </c>
      <c r="K95" s="28">
        <f>IF(COUNTA(A95:I95)&gt;0, E95-J95, "")</f>
        <v/>
      </c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28">
        <f>IF(COUNTA(A96:I96)&gt;0, SUM(F96:I96), "")</f>
        <v/>
      </c>
      <c r="K96" s="28">
        <f>IF(COUNTA(A96:I96)&gt;0, E96-J96, "")</f>
        <v/>
      </c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28">
        <f>IF(COUNTA(A97:I97)&gt;0, SUM(F97:I97), "")</f>
        <v/>
      </c>
      <c r="K97" s="28">
        <f>IF(COUNTA(A97:I97)&gt;0, E97-J97, "")</f>
        <v/>
      </c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28">
        <f>IF(COUNTA(A98:I98)&gt;0, SUM(F98:I98), "")</f>
        <v/>
      </c>
      <c r="K98" s="28">
        <f>IF(COUNTA(A98:I98)&gt;0, E98-J98, "")</f>
        <v/>
      </c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28">
        <f>IF(COUNTA(A99:I99)&gt;0, SUM(F99:I99), "")</f>
        <v/>
      </c>
      <c r="K99" s="28">
        <f>IF(COUNTA(A99:I99)&gt;0, E99-J99, "")</f>
        <v/>
      </c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28">
        <f>IF(COUNTA(A100:I100)&gt;0, SUM(F100:I100), "")</f>
        <v/>
      </c>
      <c r="K100" s="28">
        <f>IF(COUNTA(A100:I100)&gt;0, E100-J100, "")</f>
        <v/>
      </c>
      <c r="L100" s="5" t="n"/>
    </row>
  </sheetData>
  <dataValidations count="2">
    <dataValidation sqref="A4:A50" showDropDown="0" showInputMessage="0" showErrorMessage="0" allowBlank="0" type="list">
      <formula1>"Painel,Portas,Forro,Piso,Deck,Marcenaria (Móveis)"</formula1>
    </dataValidation>
    <dataValidation sqref="J4:J50" showDropDown="0" showInputMessage="0" showErrorMessage="0" allowBlank="0" type="list">
      <formula1>"Pendente,Em Andamento,Concluído,Cancelado"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2026-10-27T17:21:11Z</dcterms:created>
  <dcterms:modified xmlns:dcterms="http://purl.org/dc/terms/" xmlns:xsi="http://www.w3.org/2001/XMLSchema-instance" xsi:type="dcterms:W3CDTF">2026-10-27T18:03:58Z</dcterms:modified>
</cp:coreProperties>
</file>